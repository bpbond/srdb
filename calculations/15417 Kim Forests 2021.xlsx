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3x290/Desktop/"/>
    </mc:Choice>
  </mc:AlternateContent>
  <xr:revisionPtr revIDLastSave="0" documentId="13_ncr:1_{9241786E-A140-3246-B2BB-9D4EB42B3CF2}" xr6:coauthVersionLast="47" xr6:coauthVersionMax="47" xr10:uidLastSave="{00000000-0000-0000-0000-000000000000}"/>
  <bookViews>
    <workbookView xWindow="11980" yWindow="5900" windowWidth="27640" windowHeight="16940" xr2:uid="{F51B8582-3DB2-C844-94DC-5135CE55EB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B33" i="1"/>
  <c r="E29" i="1"/>
  <c r="B29" i="1"/>
  <c r="E26" i="1"/>
  <c r="E28" i="1" s="1"/>
  <c r="B28" i="1"/>
  <c r="E31" i="1"/>
  <c r="E32" i="1" s="1"/>
  <c r="B32" i="1"/>
  <c r="B31" i="1"/>
  <c r="B26" i="1"/>
</calcChain>
</file>

<file path=xl/sharedStrings.xml><?xml version="1.0" encoding="utf-8"?>
<sst xmlns="http://schemas.openxmlformats.org/spreadsheetml/2006/main" count="11" uniqueCount="8">
  <si>
    <t>Control</t>
  </si>
  <si>
    <t>Compacted</t>
  </si>
  <si>
    <t>Average (mgC/m2/hr)</t>
  </si>
  <si>
    <t>Average(gC/m2/yr)</t>
  </si>
  <si>
    <t>Growing season avg</t>
  </si>
  <si>
    <t>Growing season (µmol/m2/s)</t>
  </si>
  <si>
    <t>I think this must be mgCO2/m2/hr, so using this line instead</t>
  </si>
  <si>
    <t>From Figure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</si>
</sst>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2C2C2C"/>
      <name val="Calibri"/>
      <family val="2"/>
    </font>
    <font>
      <sz val="12"/>
      <color rgb="FF2C2C2C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1265-43F8-D442-A261-DED3E4394CF5}">
  <dimension ref="A4:G33"/>
  <sheetViews>
    <sheetView tabSelected="1" workbookViewId="0">
      <selection activeCell="A5" sqref="A5"/>
    </sheetView>
  </sheetViews>
  <sheetFormatPr baseColWidth="10" defaultRowHeight="16" x14ac:dyDescent="0.2"/>
  <cols>
    <col min="1" max="1" width="22" customWidth="1"/>
  </cols>
  <sheetData>
    <row r="4" spans="1:5" x14ac:dyDescent="0.2">
      <c r="A4" t="s">
        <v>7</v>
      </c>
    </row>
    <row r="6" spans="1:5" x14ac:dyDescent="0.2">
      <c r="A6" s="1"/>
      <c r="B6" t="s">
        <v>0</v>
      </c>
      <c r="E6" t="s">
        <v>1</v>
      </c>
    </row>
    <row r="7" spans="1:5" x14ac:dyDescent="0.2">
      <c r="A7" s="2"/>
      <c r="B7" s="2">
        <v>883.55866073858999</v>
      </c>
      <c r="D7" s="2">
        <v>0</v>
      </c>
      <c r="E7" s="2">
        <v>704.35532165865095</v>
      </c>
    </row>
    <row r="8" spans="1:5" x14ac:dyDescent="0.2">
      <c r="A8" s="2"/>
      <c r="B8" s="2">
        <v>485.85427819617001</v>
      </c>
      <c r="D8" s="2">
        <v>0</v>
      </c>
      <c r="E8" s="2">
        <v>393.88440250430898</v>
      </c>
    </row>
    <row r="9" spans="1:5" x14ac:dyDescent="0.2">
      <c r="A9" s="2"/>
      <c r="B9" s="2">
        <v>533.191180473641</v>
      </c>
      <c r="D9" s="2">
        <v>0</v>
      </c>
      <c r="E9" s="2">
        <v>394.62843662099601</v>
      </c>
    </row>
    <row r="10" spans="1:5" x14ac:dyDescent="0.2">
      <c r="A10" s="2"/>
      <c r="B10" s="2">
        <v>159.159785863351</v>
      </c>
      <c r="D10" s="2">
        <v>0</v>
      </c>
      <c r="E10" s="2">
        <v>123.92704836221699</v>
      </c>
    </row>
    <row r="11" spans="1:5" x14ac:dyDescent="0.2">
      <c r="A11" s="2"/>
      <c r="B11" s="2">
        <v>301.21586062970601</v>
      </c>
      <c r="D11" s="2">
        <v>0</v>
      </c>
      <c r="E11" s="2">
        <v>268.50558025587497</v>
      </c>
    </row>
    <row r="12" spans="1:5" x14ac:dyDescent="0.2">
      <c r="A12" s="2"/>
      <c r="B12" s="2">
        <v>399.88204337174398</v>
      </c>
      <c r="D12" s="2">
        <v>0</v>
      </c>
      <c r="E12" s="2">
        <v>445.10479992741102</v>
      </c>
    </row>
    <row r="13" spans="1:5" x14ac:dyDescent="0.2">
      <c r="A13" s="2"/>
      <c r="B13" s="2">
        <v>634.76998457490197</v>
      </c>
      <c r="D13" s="2">
        <v>0</v>
      </c>
      <c r="E13" s="2">
        <v>589.34760910988098</v>
      </c>
    </row>
    <row r="14" spans="1:5" x14ac:dyDescent="0.2">
      <c r="A14" s="2"/>
      <c r="B14" s="2">
        <v>1132.1658651665</v>
      </c>
      <c r="D14" s="2">
        <v>0</v>
      </c>
      <c r="E14" s="2">
        <v>363.95971327465702</v>
      </c>
    </row>
    <row r="15" spans="1:5" x14ac:dyDescent="0.2">
      <c r="A15" s="2"/>
      <c r="B15" s="2">
        <v>1226.6400508120801</v>
      </c>
      <c r="D15" s="2">
        <v>0</v>
      </c>
      <c r="E15" s="2">
        <v>941.48443879865704</v>
      </c>
    </row>
    <row r="16" spans="1:5" x14ac:dyDescent="0.2">
      <c r="A16" s="2"/>
      <c r="B16" s="2">
        <v>1219.0273114962299</v>
      </c>
      <c r="D16" s="2">
        <v>0</v>
      </c>
      <c r="E16" s="2">
        <v>1170.2477089193301</v>
      </c>
    </row>
    <row r="17" spans="1:7" x14ac:dyDescent="0.2">
      <c r="A17" s="2"/>
      <c r="B17" s="2">
        <v>712.43988748752304</v>
      </c>
      <c r="D17" s="2">
        <v>0</v>
      </c>
      <c r="E17" s="2">
        <v>769.41293893475995</v>
      </c>
    </row>
    <row r="18" spans="1:7" x14ac:dyDescent="0.2">
      <c r="A18" s="2"/>
      <c r="B18" s="2">
        <v>293.54867979312201</v>
      </c>
      <c r="D18" s="2">
        <v>0</v>
      </c>
      <c r="E18" s="2">
        <v>243.562290173305</v>
      </c>
    </row>
    <row r="19" spans="1:7" x14ac:dyDescent="0.2">
      <c r="A19" s="2"/>
      <c r="B19" s="2">
        <v>79.965520370202299</v>
      </c>
      <c r="D19" s="2">
        <v>0</v>
      </c>
      <c r="E19" s="2">
        <v>86.788857635423199</v>
      </c>
    </row>
    <row r="20" spans="1:7" x14ac:dyDescent="0.2">
      <c r="A20" s="2"/>
      <c r="B20" s="2">
        <v>255.612013428908</v>
      </c>
      <c r="D20" s="2">
        <v>0</v>
      </c>
      <c r="E20" s="2">
        <v>255.22184919698699</v>
      </c>
    </row>
    <row r="21" spans="1:7" x14ac:dyDescent="0.2">
      <c r="A21" s="2"/>
      <c r="B21" s="2">
        <v>333.88984665638299</v>
      </c>
      <c r="D21" s="2">
        <v>0</v>
      </c>
      <c r="E21" s="2">
        <v>349.15161963524099</v>
      </c>
    </row>
    <row r="22" spans="1:7" x14ac:dyDescent="0.2">
      <c r="A22" s="2"/>
      <c r="B22" s="2">
        <v>602.43172125941305</v>
      </c>
      <c r="D22" s="2">
        <v>0</v>
      </c>
      <c r="E22" s="2">
        <v>483.50421921785602</v>
      </c>
    </row>
    <row r="23" spans="1:7" x14ac:dyDescent="0.2">
      <c r="A23" s="2"/>
      <c r="B23" s="2">
        <v>592.79557208964695</v>
      </c>
      <c r="D23" s="2">
        <v>0</v>
      </c>
      <c r="E23" s="2">
        <v>528.62716631884496</v>
      </c>
    </row>
    <row r="24" spans="1:7" x14ac:dyDescent="0.2">
      <c r="A24" s="2"/>
      <c r="B24" s="2">
        <v>820.352055167407</v>
      </c>
      <c r="D24" s="2">
        <v>0</v>
      </c>
      <c r="E24" s="2">
        <v>459.023682061518</v>
      </c>
    </row>
    <row r="26" spans="1:7" x14ac:dyDescent="0.2">
      <c r="A26" t="s">
        <v>2</v>
      </c>
      <c r="B26">
        <f>AVERAGE(B7:B24)</f>
        <v>592.58335097641759</v>
      </c>
      <c r="E26">
        <f>AVERAGE(E7:E24)</f>
        <v>476.15209347810662</v>
      </c>
    </row>
    <row r="28" spans="1:7" x14ac:dyDescent="0.2">
      <c r="A28" t="s">
        <v>3</v>
      </c>
      <c r="B28">
        <f>B26*8.76</f>
        <v>5191.0301545534176</v>
      </c>
      <c r="E28">
        <f>E26*8.76</f>
        <v>4171.092338868214</v>
      </c>
    </row>
    <row r="29" spans="1:7" x14ac:dyDescent="0.2">
      <c r="A29" t="s">
        <v>3</v>
      </c>
      <c r="B29">
        <f>ROUND(B28*12/44,1)</f>
        <v>1415.7</v>
      </c>
      <c r="E29">
        <f>ROUND(E28*12/44,1)</f>
        <v>1137.5999999999999</v>
      </c>
      <c r="G29" t="s">
        <v>6</v>
      </c>
    </row>
    <row r="31" spans="1:7" x14ac:dyDescent="0.2">
      <c r="A31" t="s">
        <v>4</v>
      </c>
      <c r="B31">
        <f>AVERAGE(B10:B19)</f>
        <v>615.88149895653601</v>
      </c>
      <c r="E31">
        <f>AVERAGE(E10:E19)</f>
        <v>500.23409853915166</v>
      </c>
    </row>
    <row r="32" spans="1:7" x14ac:dyDescent="0.2">
      <c r="A32" t="s">
        <v>5</v>
      </c>
      <c r="B32">
        <f>ROUND(B31*0.0231,3)</f>
        <v>14.227</v>
      </c>
      <c r="E32">
        <f>ROUND(E31*0.0231,3)</f>
        <v>11.555</v>
      </c>
    </row>
    <row r="33" spans="1:7" x14ac:dyDescent="0.2">
      <c r="A33" t="s">
        <v>5</v>
      </c>
      <c r="B33">
        <f>ROUND(B32*12/44,1)</f>
        <v>3.9</v>
      </c>
      <c r="E33">
        <f>ROUND(E32*12/44,1)</f>
        <v>3.2</v>
      </c>
      <c r="G33" t="s">
        <v>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Bond-Lamberty, Ben</dc:creator>
  <cp:lastModifiedBy>Bond-Lamberty, Ben</cp:lastModifiedBy>
  <dcterms:created xsi:type="dcterms:W3CDTF">2025-12-31T15:05:12Z</dcterms:created>
  <dcterms:modified xsi:type="dcterms:W3CDTF">2025-12-31T15:12:51Z</dcterms:modified>
</cp:coreProperties>
</file>